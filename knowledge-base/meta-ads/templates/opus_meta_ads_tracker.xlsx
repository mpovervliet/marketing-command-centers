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nthly Performance" sheetId="1" state="visible" r:id="rId3"/>
    <sheet name="Creative Tracker" sheetId="2" state="visible" r:id="rId4"/>
    <sheet name="Opus Outputs" sheetId="3" state="visible" r:id="rId5"/>
    <sheet name="Test Calendar" sheetId="4" state="visible" r:id="rId6"/>
    <sheet name="Weekly Checklist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<sst xmlns="http://schemas.openxmlformats.org/spreadsheetml/2006/main" count="193" uniqueCount="140">
  <si>
    <t xml:space="preserve">MONTHLY PERFORMANCE DATA — Paste Your Meta Ads Data Here</t>
  </si>
  <si>
    <t xml:space="preserve">Instructions: Export from Meta Ads Manager → Paste below → Feed to Opus with Master Prompt</t>
  </si>
  <si>
    <t xml:space="preserve">Month</t>
  </si>
  <si>
    <t xml:space="preserve">Spend</t>
  </si>
  <si>
    <t xml:space="preserve">Revenue</t>
  </si>
  <si>
    <t xml:space="preserve">ROAS</t>
  </si>
  <si>
    <t xml:space="preserve">CPA</t>
  </si>
  <si>
    <t xml:space="preserve">CPM</t>
  </si>
  <si>
    <t xml:space="preserve">Purchases</t>
  </si>
  <si>
    <t xml:space="preserve">Jul 2025</t>
  </si>
  <si>
    <t xml:space="preserve">Aug 2025</t>
  </si>
  <si>
    <t xml:space="preserve">Sep 2025</t>
  </si>
  <si>
    <t xml:space="preserve">Oct 2025</t>
  </si>
  <si>
    <t xml:space="preserve">Nov 2025</t>
  </si>
  <si>
    <t xml:space="preserve">Dec 2025</t>
  </si>
  <si>
    <t xml:space="preserve">CREATIVE PERFORMANCE TRACKER — All Active Creatives</t>
  </si>
  <si>
    <t xml:space="preserve">Creative Name</t>
  </si>
  <si>
    <t xml:space="preserve">Format</t>
  </si>
  <si>
    <t xml:space="preserve">Hook Type</t>
  </si>
  <si>
    <t xml:space="preserve">CTR</t>
  </si>
  <si>
    <t xml:space="preserve">Frequency</t>
  </si>
  <si>
    <t xml:space="preserve">Status</t>
  </si>
  <si>
    <t xml:space="preserve">Opus Verdict</t>
  </si>
  <si>
    <t xml:space="preserve">UGC_BeforeAfter_v3</t>
  </si>
  <si>
    <t xml:space="preserve">Video 15s</t>
  </si>
  <si>
    <t xml:space="preserve">Transformation</t>
  </si>
  <si>
    <t xml:space="preserve">2.8%</t>
  </si>
  <si>
    <t xml:space="preserve">Fatigued</t>
  </si>
  <si>
    <t xml:space="preserve">ITERATE</t>
  </si>
  <si>
    <t xml:space="preserve">Founder_Story_v2</t>
  </si>
  <si>
    <t xml:space="preserve">Video 30s</t>
  </si>
  <si>
    <t xml:space="preserve">Authority</t>
  </si>
  <si>
    <t xml:space="preserve">2.4%</t>
  </si>
  <si>
    <t xml:space="preserve">Cooling</t>
  </si>
  <si>
    <t xml:space="preserve">DermApproved_Static</t>
  </si>
  <si>
    <t xml:space="preserve">Image</t>
  </si>
  <si>
    <t xml:space="preserve">Credibility</t>
  </si>
  <si>
    <t xml:space="preserve">1.9%</t>
  </si>
  <si>
    <t xml:space="preserve">REPLACE</t>
  </si>
  <si>
    <t xml:space="preserve">UGC_Unboxing_v1</t>
  </si>
  <si>
    <t xml:space="preserve">2.6%</t>
  </si>
  <si>
    <t xml:space="preserve">Fresh</t>
  </si>
  <si>
    <t xml:space="preserve">SCALE</t>
  </si>
  <si>
    <t xml:space="preserve">SideBySide_Comp</t>
  </si>
  <si>
    <t xml:space="preserve">Comparison</t>
  </si>
  <si>
    <t xml:space="preserve">2.1%</t>
  </si>
  <si>
    <t xml:space="preserve">MAINTAIN</t>
  </si>
  <si>
    <t xml:space="preserve">Ingredient_Callout_v2</t>
  </si>
  <si>
    <t xml:space="preserve">Carousel</t>
  </si>
  <si>
    <t xml:space="preserve">Education</t>
  </si>
  <si>
    <t xml:space="preserve">1.7%</t>
  </si>
  <si>
    <t xml:space="preserve">UGC_Routine_AM</t>
  </si>
  <si>
    <t xml:space="preserve">Lifestyle</t>
  </si>
  <si>
    <t xml:space="preserve">2.0%</t>
  </si>
  <si>
    <t xml:space="preserve">ProblemAgitate_v4</t>
  </si>
  <si>
    <t xml:space="preserve">Problem-Agitate</t>
  </si>
  <si>
    <t xml:space="preserve">2.3%</t>
  </si>
  <si>
    <t xml:space="preserve">Review_Mashup_v1</t>
  </si>
  <si>
    <t xml:space="preserve">Social Proof</t>
  </si>
  <si>
    <t xml:space="preserve">1.8%</t>
  </si>
  <si>
    <t xml:space="preserve">Holiday_Bundle_CTA</t>
  </si>
  <si>
    <t xml:space="preserve">Urgency/Offer</t>
  </si>
  <si>
    <t xml:space="preserve">1.2%</t>
  </si>
  <si>
    <t xml:space="preserve">Dead</t>
  </si>
  <si>
    <t xml:space="preserve">KILL</t>
  </si>
  <si>
    <t xml:space="preserve">OPUS OUTPUT LOG — Paste AI Analysis Results Here</t>
  </si>
  <si>
    <t xml:space="preserve">After running each sub-prompt, paste the key findings below. Track week over week.</t>
  </si>
  <si>
    <t xml:space="preserve">Date</t>
  </si>
  <si>
    <t xml:space="preserve">Prompt Used</t>
  </si>
  <si>
    <t xml:space="preserve">Key Finding</t>
  </si>
  <si>
    <t xml:space="preserve">Action Taken</t>
  </si>
  <si>
    <t xml:space="preserve">Result / Impact</t>
  </si>
  <si>
    <t xml:space="preserve">Notes</t>
  </si>
  <si>
    <t xml:space="preserve">2025-12-30</t>
  </si>
  <si>
    <t xml:space="preserve">Creative Analyzer</t>
  </si>
  <si>
    <t xml:space="preserve">Holiday_Bundle_CTA at 1.40x ROAS, burning $800/day</t>
  </si>
  <si>
    <t xml:space="preserve">Killed creative, reallocated $24K/mo</t>
  </si>
  <si>
    <t xml:space="preserve">Blended CPA dropped $2.10 in Week 1</t>
  </si>
  <si>
    <t xml:space="preserve">Hook Decay Detector</t>
  </si>
  <si>
    <t xml:space="preserve">UGC_BeforeAfter_v3 RED — est. 2 days remaining</t>
  </si>
  <si>
    <t xml:space="preserve">Briefed 3 new Transformation Proof variations</t>
  </si>
  <si>
    <t xml:space="preserve">New v4 launched at 3.2x ROAS in Week 2</t>
  </si>
  <si>
    <t xml:space="preserve">2026-01-06</t>
  </si>
  <si>
    <t xml:space="preserve">Loser Campaign Flag</t>
  </si>
  <si>
    <t xml:space="preserve">Prospecting_LAL_1% — 35% audience overlap, CPA +52%</t>
  </si>
  <si>
    <t xml:space="preserve">Paused ad set, moved budget to Broad</t>
  </si>
  <si>
    <t xml:space="preserve">Saved ~$8K/mo in wasted spend</t>
  </si>
  <si>
    <t xml:space="preserve">30-DAY CREATIVE TEST CALENDAR</t>
  </si>
  <si>
    <t xml:space="preserve">Week</t>
  </si>
  <si>
    <t xml:space="preserve">Concept Name</t>
  </si>
  <si>
    <t xml:space="preserve">Source Creative</t>
  </si>
  <si>
    <t xml:space="preserve">Hook Angle</t>
  </si>
  <si>
    <t xml:space="preserve">Budget</t>
  </si>
  <si>
    <t xml:space="preserve">Kill CPA</t>
  </si>
  <si>
    <t xml:space="preserve">Week 1</t>
  </si>
  <si>
    <t xml:space="preserve">TransformProof_NewCreator_v1</t>
  </si>
  <si>
    <t xml:space="preserve">New face, same B/A structure</t>
  </si>
  <si>
    <t xml:space="preserve">TransformProof_SlowReveal</t>
  </si>
  <si>
    <t xml:space="preserve">Slow zoom reveal (no split screen)</t>
  </si>
  <si>
    <t xml:space="preserve">AuthorityVoiceover_Derm</t>
  </si>
  <si>
    <t xml:space="preserve">Derm narration over product shots</t>
  </si>
  <si>
    <t xml:space="preserve">Week 2</t>
  </si>
  <si>
    <t xml:space="preserve">ProblemAgitate_Texture</t>
  </si>
  <si>
    <t xml:space="preserve">Close-up skin texture problem</t>
  </si>
  <si>
    <t xml:space="preserve">FounderStory_NewHook</t>
  </si>
  <si>
    <t xml:space="preserve">Start with customer DM, not founder</t>
  </si>
  <si>
    <t xml:space="preserve">SocialProof_Numbers</t>
  </si>
  <si>
    <t xml:space="preserve">"47,000 five-star reviews" overlay</t>
  </si>
  <si>
    <t xml:space="preserve">Week 3</t>
  </si>
  <si>
    <t xml:space="preserve">Iterate W1 Winner #1</t>
  </si>
  <si>
    <t xml:space="preserve">(Based on Week 1 data)</t>
  </si>
  <si>
    <t xml:space="preserve">Hook variation of best performer</t>
  </si>
  <si>
    <t xml:space="preserve">TBD</t>
  </si>
  <si>
    <t xml:space="preserve">Iterate W1 Winner #2</t>
  </si>
  <si>
    <t xml:space="preserve">Body variation of best performer</t>
  </si>
  <si>
    <t xml:space="preserve">Week 4</t>
  </si>
  <si>
    <t xml:space="preserve">Scale W2 Winners</t>
  </si>
  <si>
    <t xml:space="preserve">(Based on Week 2 data)</t>
  </si>
  <si>
    <t xml:space="preserve">Increase spend on proven concepts</t>
  </si>
  <si>
    <t xml:space="preserve">New Angle: Education</t>
  </si>
  <si>
    <t xml:space="preserve">"3 ingredients your derm hates"</t>
  </si>
  <si>
    <t xml:space="preserve">20-MINUTE MONDAY CHECKLIST</t>
  </si>
  <si>
    <t xml:space="preserve">Step</t>
  </si>
  <si>
    <t xml:space="preserve">Action</t>
  </si>
  <si>
    <t xml:space="preserve">Time</t>
  </si>
  <si>
    <t xml:space="preserve">Done?</t>
  </si>
  <si>
    <t xml:space="preserve">1</t>
  </si>
  <si>
    <t xml:space="preserve">Export last 7 days from Meta Ads Manager + paste into Opus</t>
  </si>
  <si>
    <t xml:space="preserve">2 min</t>
  </si>
  <si>
    <t xml:space="preserve">☐</t>
  </si>
  <si>
    <t xml:space="preserve">2</t>
  </si>
  <si>
    <t xml:space="preserve">Run Hook Decay Detector (Sub-Prompt 3)</t>
  </si>
  <si>
    <t xml:space="preserve">5 min</t>
  </si>
  <si>
    <t xml:space="preserve">3</t>
  </si>
  <si>
    <t xml:space="preserve">Run Loser Campaign Flag (Sub-Prompt 4)</t>
  </si>
  <si>
    <t xml:space="preserve">3 min</t>
  </si>
  <si>
    <t xml:space="preserve">4</t>
  </si>
  <si>
    <t xml:space="preserve">Generate replacement concepts for RED creatives (Sub-Prompt 2)</t>
  </si>
  <si>
    <t xml:space="preserve">5</t>
  </si>
  <si>
    <t xml:space="preserve">Update Test Calendar + log findings in Opus Outputs tab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</si>
</sst>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"/>
    <numFmt numFmtId="166" formatCode="0.00\x"/>
    <numFmt numFmtId="167" formatCode="\$#,##0.00"/>
    <numFmt numFmtId="168" formatCode="#,##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9"/>
      <color rgb="FF7F8C8D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B4F72"/>
        <bgColor rgb="FF333399"/>
      </patternFill>
    </fill>
    <fill>
      <patternFill patternType="solid">
        <fgColor rgb="FF2E86C1"/>
        <bgColor rgb="FF008080"/>
      </patternFill>
    </fill>
    <fill>
      <patternFill patternType="solid">
        <fgColor rgb="FFF8F9FA"/>
        <bgColor rgb="FFFFFFFF"/>
      </patternFill>
    </fill>
    <fill>
      <patternFill patternType="solid">
        <fgColor rgb="FFFADBD8"/>
        <bgColor rgb="FFD5D8DC"/>
      </patternFill>
    </fill>
    <fill>
      <patternFill patternType="solid">
        <fgColor rgb="FFFEF9E7"/>
        <bgColor rgb="FFF8F9FA"/>
      </patternFill>
    </fill>
    <fill>
      <patternFill patternType="solid">
        <fgColor rgb="FF1E8449"/>
        <bgColor rgb="FF008080"/>
      </patternFill>
    </fill>
    <fill>
      <patternFill patternType="solid">
        <fgColor rgb="FF8E44AD"/>
        <bgColor rgb="FF993366"/>
      </patternFill>
    </fill>
    <fill>
      <patternFill patternType="solid">
        <fgColor rgb="FFE67E22"/>
        <bgColor rgb="FFFF99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5D8DC"/>
      </left>
      <right style="thin">
        <color rgb="FFD5D8DC"/>
      </right>
      <top style="thin">
        <color rgb="FFD5D8DC"/>
      </top>
      <bottom style="thin">
        <color rgb="FFD5D8D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8C8D"/>
      <rgbColor rgb="FF9999FF"/>
      <rgbColor rgb="FF8E44AD"/>
      <rgbColor rgb="FFFEF9E7"/>
      <rgbColor rgb="FFF8F9FA"/>
      <rgbColor rgb="FF660066"/>
      <rgbColor rgb="FFFF8080"/>
      <rgbColor rgb="FF0066CC"/>
      <rgbColor rgb="FFD5D8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ADBD8"/>
      <rgbColor rgb="FF2E86C1"/>
      <rgbColor rgb="FF33CCCC"/>
      <rgbColor rgb="FF99CC00"/>
      <rgbColor rgb="FFFFCC00"/>
      <rgbColor rgb="FFFF9900"/>
      <rgbColor rgb="FFE67E22"/>
      <rgbColor rgb="FF666699"/>
      <rgbColor rgb="FF969696"/>
      <rgbColor rgb="FF1B4F72"/>
      <rgbColor rgb="FF1E8449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4F72"/>
    <pageSetUpPr fitToPage="false"/>
  </sheetPr>
  <dimension ref="A1:G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4"/>
    <col collapsed="false" customWidth="true" hidden="false" outlineLevel="0" max="6" min="4" style="0" width="10"/>
    <col collapsed="false" customWidth="true" hidden="false" outlineLevel="0" max="7" min="7" style="0" width="12"/>
  </cols>
  <sheetData>
    <row r="1" customFormat="false" ht="32.8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15" hidden="false" customHeight="false" outlineLevel="0" collapsed="false">
      <c r="A5" s="4" t="s">
        <v>9</v>
      </c>
      <c r="B5" s="5" t="n">
        <v>248000</v>
      </c>
      <c r="C5" s="6" t="n">
        <v>694000</v>
      </c>
      <c r="D5" s="7" t="n">
        <f aca="false">C5/B5</f>
        <v>2.79838709677419</v>
      </c>
      <c r="E5" s="8" t="n">
        <f aca="false">B5/G5</f>
        <v>28.0987990029458</v>
      </c>
      <c r="F5" s="8" t="n">
        <v>18.4</v>
      </c>
      <c r="G5" s="9" t="n">
        <v>8826</v>
      </c>
    </row>
    <row r="6" customFormat="false" ht="15" hidden="false" customHeight="false" outlineLevel="0" collapsed="false">
      <c r="A6" s="10" t="s">
        <v>10</v>
      </c>
      <c r="B6" s="11" t="n">
        <v>255000</v>
      </c>
      <c r="C6" s="12" t="n">
        <v>688000</v>
      </c>
      <c r="D6" s="13" t="n">
        <f aca="false">C6/B6</f>
        <v>2.69803921568627</v>
      </c>
      <c r="E6" s="14" t="n">
        <f aca="false">B6/G6</f>
        <v>29.5002313743637</v>
      </c>
      <c r="F6" s="14" t="n">
        <v>19.1</v>
      </c>
      <c r="G6" s="15" t="n">
        <v>8644</v>
      </c>
    </row>
    <row r="7" customFormat="false" ht="15" hidden="false" customHeight="false" outlineLevel="0" collapsed="false">
      <c r="A7" s="4" t="s">
        <v>11</v>
      </c>
      <c r="B7" s="5" t="n">
        <v>260000</v>
      </c>
      <c r="C7" s="6" t="n">
        <v>650000</v>
      </c>
      <c r="D7" s="7" t="n">
        <f aca="false">C7/B7</f>
        <v>2.5</v>
      </c>
      <c r="E7" s="8" t="n">
        <f aca="false">B7/G7</f>
        <v>31.6995854669593</v>
      </c>
      <c r="F7" s="8" t="n">
        <v>20.8</v>
      </c>
      <c r="G7" s="9" t="n">
        <v>8202</v>
      </c>
    </row>
    <row r="8" customFormat="false" ht="15" hidden="false" customHeight="false" outlineLevel="0" collapsed="false">
      <c r="A8" s="10" t="s">
        <v>12</v>
      </c>
      <c r="B8" s="11" t="n">
        <v>252000</v>
      </c>
      <c r="C8" s="12" t="n">
        <v>580000</v>
      </c>
      <c r="D8" s="13" t="n">
        <f aca="false">C8/B8</f>
        <v>2.3015873015873</v>
      </c>
      <c r="E8" s="14" t="n">
        <f aca="false">B8/G8</f>
        <v>34.2019543973941</v>
      </c>
      <c r="F8" s="14" t="n">
        <v>22.5</v>
      </c>
      <c r="G8" s="15" t="n">
        <v>7368</v>
      </c>
    </row>
    <row r="9" customFormat="false" ht="15" hidden="false" customHeight="false" outlineLevel="0" collapsed="false">
      <c r="A9" s="4" t="s">
        <v>13</v>
      </c>
      <c r="B9" s="5" t="n">
        <v>245000</v>
      </c>
      <c r="C9" s="6" t="n">
        <v>539000</v>
      </c>
      <c r="D9" s="7" t="n">
        <f aca="false">C9/B9</f>
        <v>2.2</v>
      </c>
      <c r="E9" s="8" t="n">
        <f aca="false">B9/G9</f>
        <v>36.7978371883449</v>
      </c>
      <c r="F9" s="8" t="n">
        <v>24.1</v>
      </c>
      <c r="G9" s="9" t="n">
        <v>6658</v>
      </c>
    </row>
    <row r="10" customFormat="false" ht="15" hidden="false" customHeight="false" outlineLevel="0" collapsed="false">
      <c r="A10" s="10" t="s">
        <v>14</v>
      </c>
      <c r="B10" s="11" t="n">
        <v>241000</v>
      </c>
      <c r="C10" s="12" t="n">
        <v>506000</v>
      </c>
      <c r="D10" s="13" t="n">
        <f aca="false">C10/B10</f>
        <v>2.09958506224066</v>
      </c>
      <c r="E10" s="14" t="n">
        <f aca="false">B10/G10</f>
        <v>38.9023405972559</v>
      </c>
      <c r="F10" s="14" t="n">
        <v>25.6</v>
      </c>
      <c r="G10" s="15" t="n">
        <v>6195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86C1"/>
    <pageSetUpPr fitToPage="false"/>
  </sheetPr>
  <dimension ref="A1:J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5" min="4" style="0" width="10"/>
    <col collapsed="false" customWidth="true" hidden="false" outlineLevel="0" max="6" min="6" style="0" width="12"/>
    <col collapsed="false" customWidth="true" hidden="false" outlineLevel="0" max="7" min="7" style="0" width="8"/>
    <col collapsed="false" customWidth="true" hidden="false" outlineLevel="0" max="8" min="8" style="0" width="10"/>
    <col collapsed="false" customWidth="true" hidden="false" outlineLevel="0" max="9" min="9" style="0" width="12"/>
    <col collapsed="false" customWidth="true" hidden="false" outlineLevel="0" max="10" min="10" style="0" width="14"/>
  </cols>
  <sheetData>
    <row r="1" customFormat="false" ht="17.35" hidden="false" customHeight="true" outlineLevel="0" collapsed="false">
      <c r="A1" s="1" t="s">
        <v>15</v>
      </c>
      <c r="B1" s="1"/>
      <c r="C1" s="1"/>
      <c r="D1" s="1"/>
      <c r="E1" s="1"/>
      <c r="F1" s="1"/>
      <c r="G1" s="1"/>
      <c r="H1" s="1"/>
      <c r="I1" s="1"/>
      <c r="J1" s="1"/>
    </row>
    <row r="3" customFormat="false" ht="15" hidden="false" customHeight="false" outlineLevel="0" collapsed="false">
      <c r="A3" s="3" t="s">
        <v>16</v>
      </c>
      <c r="B3" s="3" t="s">
        <v>17</v>
      </c>
      <c r="C3" s="3" t="s">
        <v>18</v>
      </c>
      <c r="D3" s="3" t="s">
        <v>5</v>
      </c>
      <c r="E3" s="3" t="s">
        <v>6</v>
      </c>
      <c r="F3" s="3" t="s">
        <v>3</v>
      </c>
      <c r="G3" s="3" t="s">
        <v>19</v>
      </c>
      <c r="H3" s="3" t="s">
        <v>20</v>
      </c>
      <c r="I3" s="3" t="s">
        <v>21</v>
      </c>
      <c r="J3" s="3" t="s">
        <v>22</v>
      </c>
    </row>
    <row r="4" customFormat="false" ht="15" hidden="false" customHeight="false" outlineLevel="0" collapsed="false">
      <c r="A4" s="4" t="s">
        <v>23</v>
      </c>
      <c r="B4" s="4" t="s">
        <v>24</v>
      </c>
      <c r="C4" s="16" t="s">
        <v>25</v>
      </c>
      <c r="D4" s="7" t="n">
        <v>3.9</v>
      </c>
      <c r="E4" s="8" t="n">
        <v>22.1</v>
      </c>
      <c r="F4" s="6" t="n">
        <v>41000</v>
      </c>
      <c r="G4" s="16" t="s">
        <v>26</v>
      </c>
      <c r="H4" s="16" t="n">
        <v>4.2</v>
      </c>
      <c r="I4" s="17" t="s">
        <v>27</v>
      </c>
      <c r="J4" s="18" t="s">
        <v>28</v>
      </c>
    </row>
    <row r="5" customFormat="false" ht="15" hidden="false" customHeight="false" outlineLevel="0" collapsed="false">
      <c r="A5" s="10" t="s">
        <v>29</v>
      </c>
      <c r="B5" s="10" t="s">
        <v>30</v>
      </c>
      <c r="C5" s="19" t="s">
        <v>31</v>
      </c>
      <c r="D5" s="13" t="n">
        <v>3.6</v>
      </c>
      <c r="E5" s="14" t="n">
        <v>24.3</v>
      </c>
      <c r="F5" s="12" t="n">
        <v>38000</v>
      </c>
      <c r="G5" s="19" t="s">
        <v>32</v>
      </c>
      <c r="H5" s="19" t="n">
        <v>3.6</v>
      </c>
      <c r="I5" s="19" t="s">
        <v>33</v>
      </c>
      <c r="J5" s="19" t="s">
        <v>28</v>
      </c>
    </row>
    <row r="6" customFormat="false" ht="15" hidden="false" customHeight="false" outlineLevel="0" collapsed="false">
      <c r="A6" s="4" t="s">
        <v>34</v>
      </c>
      <c r="B6" s="4" t="s">
        <v>35</v>
      </c>
      <c r="C6" s="16" t="s">
        <v>36</v>
      </c>
      <c r="D6" s="7" t="n">
        <v>3.4</v>
      </c>
      <c r="E6" s="8" t="n">
        <v>25.8</v>
      </c>
      <c r="F6" s="6" t="n">
        <v>35000</v>
      </c>
      <c r="G6" s="16" t="s">
        <v>37</v>
      </c>
      <c r="H6" s="16" t="n">
        <v>3.8</v>
      </c>
      <c r="I6" s="17" t="s">
        <v>27</v>
      </c>
      <c r="J6" s="18" t="s">
        <v>38</v>
      </c>
    </row>
    <row r="7" customFormat="false" ht="15" hidden="false" customHeight="false" outlineLevel="0" collapsed="false">
      <c r="A7" s="10" t="s">
        <v>39</v>
      </c>
      <c r="B7" s="10" t="s">
        <v>24</v>
      </c>
      <c r="C7" s="19" t="s">
        <v>25</v>
      </c>
      <c r="D7" s="13" t="n">
        <v>3.2</v>
      </c>
      <c r="E7" s="14" t="n">
        <v>27.4</v>
      </c>
      <c r="F7" s="12" t="n">
        <v>32000</v>
      </c>
      <c r="G7" s="19" t="s">
        <v>40</v>
      </c>
      <c r="H7" s="19" t="n">
        <v>2.9</v>
      </c>
      <c r="I7" s="19" t="s">
        <v>41</v>
      </c>
      <c r="J7" s="19" t="s">
        <v>42</v>
      </c>
    </row>
    <row r="8" customFormat="false" ht="15" hidden="false" customHeight="false" outlineLevel="0" collapsed="false">
      <c r="A8" s="4" t="s">
        <v>43</v>
      </c>
      <c r="B8" s="4" t="s">
        <v>35</v>
      </c>
      <c r="C8" s="16" t="s">
        <v>44</v>
      </c>
      <c r="D8" s="7" t="n">
        <v>3.1</v>
      </c>
      <c r="E8" s="8" t="n">
        <v>28.1</v>
      </c>
      <c r="F8" s="6" t="n">
        <v>29000</v>
      </c>
      <c r="G8" s="16" t="s">
        <v>45</v>
      </c>
      <c r="H8" s="16" t="n">
        <v>3.1</v>
      </c>
      <c r="I8" s="18" t="s">
        <v>33</v>
      </c>
      <c r="J8" s="16" t="s">
        <v>46</v>
      </c>
    </row>
    <row r="9" customFormat="false" ht="15" hidden="false" customHeight="false" outlineLevel="0" collapsed="false">
      <c r="A9" s="10" t="s">
        <v>47</v>
      </c>
      <c r="B9" s="10" t="s">
        <v>48</v>
      </c>
      <c r="C9" s="19" t="s">
        <v>49</v>
      </c>
      <c r="D9" s="13" t="n">
        <v>2.9</v>
      </c>
      <c r="E9" s="14" t="n">
        <v>30.2</v>
      </c>
      <c r="F9" s="12" t="n">
        <v>27000</v>
      </c>
      <c r="G9" s="19" t="s">
        <v>50</v>
      </c>
      <c r="H9" s="19" t="n">
        <v>2.8</v>
      </c>
      <c r="I9" s="19" t="s">
        <v>41</v>
      </c>
      <c r="J9" s="19" t="s">
        <v>42</v>
      </c>
    </row>
    <row r="10" customFormat="false" ht="15" hidden="false" customHeight="false" outlineLevel="0" collapsed="false">
      <c r="A10" s="4" t="s">
        <v>51</v>
      </c>
      <c r="B10" s="4" t="s">
        <v>30</v>
      </c>
      <c r="C10" s="16" t="s">
        <v>52</v>
      </c>
      <c r="D10" s="7" t="n">
        <v>2.8</v>
      </c>
      <c r="E10" s="8" t="n">
        <v>31.5</v>
      </c>
      <c r="F10" s="6" t="n">
        <v>25000</v>
      </c>
      <c r="G10" s="16" t="s">
        <v>53</v>
      </c>
      <c r="H10" s="16" t="n">
        <v>3.3</v>
      </c>
      <c r="I10" s="18" t="s">
        <v>33</v>
      </c>
      <c r="J10" s="16" t="s">
        <v>46</v>
      </c>
    </row>
    <row r="11" customFormat="false" ht="15" hidden="false" customHeight="false" outlineLevel="0" collapsed="false">
      <c r="A11" s="10" t="s">
        <v>54</v>
      </c>
      <c r="B11" s="10" t="s">
        <v>24</v>
      </c>
      <c r="C11" s="19" t="s">
        <v>55</v>
      </c>
      <c r="D11" s="13" t="n">
        <v>2.7</v>
      </c>
      <c r="E11" s="14" t="n">
        <v>32.8</v>
      </c>
      <c r="F11" s="12" t="n">
        <v>22000</v>
      </c>
      <c r="G11" s="19" t="s">
        <v>56</v>
      </c>
      <c r="H11" s="19" t="n">
        <v>1.9</v>
      </c>
      <c r="I11" s="19" t="s">
        <v>41</v>
      </c>
      <c r="J11" s="19" t="s">
        <v>42</v>
      </c>
    </row>
    <row r="12" customFormat="false" ht="15" hidden="false" customHeight="false" outlineLevel="0" collapsed="false">
      <c r="A12" s="4" t="s">
        <v>57</v>
      </c>
      <c r="B12" s="4" t="s">
        <v>30</v>
      </c>
      <c r="C12" s="16" t="s">
        <v>58</v>
      </c>
      <c r="D12" s="7" t="n">
        <v>2.6</v>
      </c>
      <c r="E12" s="8" t="n">
        <v>34.1</v>
      </c>
      <c r="F12" s="6" t="n">
        <v>20000</v>
      </c>
      <c r="G12" s="16" t="s">
        <v>59</v>
      </c>
      <c r="H12" s="16" t="n">
        <v>3.5</v>
      </c>
      <c r="I12" s="18" t="s">
        <v>33</v>
      </c>
      <c r="J12" s="18" t="s">
        <v>28</v>
      </c>
    </row>
    <row r="13" customFormat="false" ht="15" hidden="false" customHeight="false" outlineLevel="0" collapsed="false">
      <c r="A13" s="10" t="s">
        <v>60</v>
      </c>
      <c r="B13" s="10" t="s">
        <v>35</v>
      </c>
      <c r="C13" s="19" t="s">
        <v>61</v>
      </c>
      <c r="D13" s="13" t="n">
        <v>2.5</v>
      </c>
      <c r="E13" s="14" t="n">
        <v>35.6</v>
      </c>
      <c r="F13" s="12" t="n">
        <v>18000</v>
      </c>
      <c r="G13" s="19" t="s">
        <v>62</v>
      </c>
      <c r="H13" s="19" t="n">
        <v>5.1</v>
      </c>
      <c r="I13" s="19" t="s">
        <v>63</v>
      </c>
      <c r="J13" s="19" t="s">
        <v>64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E8449"/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0"/>
    <col collapsed="false" customWidth="true" hidden="false" outlineLevel="0" max="3" min="3" style="0" width="44"/>
    <col collapsed="false" customWidth="true" hidden="false" outlineLevel="0" max="5" min="4" style="0" width="36"/>
    <col collapsed="false" customWidth="true" hidden="false" outlineLevel="0" max="6" min="6" style="0" width="20"/>
  </cols>
  <sheetData>
    <row r="1" customFormat="false" ht="17.35" hidden="false" customHeight="true" outlineLevel="0" collapsed="false">
      <c r="A1" s="20" t="s">
        <v>65</v>
      </c>
      <c r="B1" s="20"/>
      <c r="C1" s="20"/>
      <c r="D1" s="20"/>
      <c r="E1" s="20"/>
      <c r="F1" s="20"/>
    </row>
    <row r="2" customFormat="false" ht="15" hidden="false" customHeight="true" outlineLevel="0" collapsed="false">
      <c r="A2" s="2" t="s">
        <v>66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21" t="s">
        <v>67</v>
      </c>
      <c r="B4" s="21" t="s">
        <v>68</v>
      </c>
      <c r="C4" s="21" t="s">
        <v>69</v>
      </c>
      <c r="D4" s="21" t="s">
        <v>70</v>
      </c>
      <c r="E4" s="21" t="s">
        <v>71</v>
      </c>
      <c r="F4" s="21" t="s">
        <v>72</v>
      </c>
    </row>
    <row r="5" customFormat="false" ht="23.85" hidden="false" customHeight="false" outlineLevel="0" collapsed="false">
      <c r="A5" s="4" t="s">
        <v>73</v>
      </c>
      <c r="B5" s="4" t="s">
        <v>74</v>
      </c>
      <c r="C5" s="16" t="s">
        <v>75</v>
      </c>
      <c r="D5" s="16" t="s">
        <v>76</v>
      </c>
      <c r="E5" s="16" t="s">
        <v>77</v>
      </c>
      <c r="F5" s="16"/>
    </row>
    <row r="6" customFormat="false" ht="23.85" hidden="false" customHeight="false" outlineLevel="0" collapsed="false">
      <c r="A6" s="10" t="s">
        <v>73</v>
      </c>
      <c r="B6" s="10" t="s">
        <v>78</v>
      </c>
      <c r="C6" s="19" t="s">
        <v>79</v>
      </c>
      <c r="D6" s="19" t="s">
        <v>80</v>
      </c>
      <c r="E6" s="19" t="s">
        <v>81</v>
      </c>
      <c r="F6" s="19"/>
    </row>
    <row r="7" customFormat="false" ht="23.85" hidden="false" customHeight="false" outlineLevel="0" collapsed="false">
      <c r="A7" s="4" t="s">
        <v>82</v>
      </c>
      <c r="B7" s="4" t="s">
        <v>83</v>
      </c>
      <c r="C7" s="16" t="s">
        <v>84</v>
      </c>
      <c r="D7" s="16" t="s">
        <v>85</v>
      </c>
      <c r="E7" s="16" t="s">
        <v>86</v>
      </c>
      <c r="F7" s="16"/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44AD"/>
    <pageSetUpPr fitToPage="fals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0"/>
    <col collapsed="false" customWidth="true" hidden="false" outlineLevel="0" max="3" min="3" style="0" width="24"/>
    <col collapsed="false" customWidth="true" hidden="false" outlineLevel="0" max="4" min="4" style="0" width="36"/>
    <col collapsed="false" customWidth="true" hidden="false" outlineLevel="0" max="5" min="5" style="0" width="12"/>
    <col collapsed="false" customWidth="true" hidden="false" outlineLevel="0" max="7" min="6" style="0" width="10"/>
    <col collapsed="false" customWidth="true" hidden="false" outlineLevel="0" max="8" min="8" style="0" width="12"/>
  </cols>
  <sheetData>
    <row r="1" customFormat="false" ht="17.35" hidden="false" customHeight="true" outlineLevel="0" collapsed="false">
      <c r="A1" s="22" t="s">
        <v>87</v>
      </c>
      <c r="B1" s="22"/>
      <c r="C1" s="22"/>
      <c r="D1" s="22"/>
      <c r="E1" s="22"/>
      <c r="F1" s="22"/>
      <c r="G1" s="22"/>
      <c r="H1" s="22"/>
    </row>
    <row r="3" customFormat="false" ht="15" hidden="false" customHeight="false" outlineLevel="0" collapsed="false">
      <c r="A3" s="23" t="s">
        <v>88</v>
      </c>
      <c r="B3" s="23" t="s">
        <v>89</v>
      </c>
      <c r="C3" s="23" t="s">
        <v>90</v>
      </c>
      <c r="D3" s="23" t="s">
        <v>91</v>
      </c>
      <c r="E3" s="23" t="s">
        <v>17</v>
      </c>
      <c r="F3" s="23" t="s">
        <v>92</v>
      </c>
      <c r="G3" s="23" t="s">
        <v>93</v>
      </c>
      <c r="H3" s="23" t="s">
        <v>21</v>
      </c>
    </row>
    <row r="4" customFormat="false" ht="15" hidden="false" customHeight="false" outlineLevel="0" collapsed="false">
      <c r="A4" s="4" t="s">
        <v>94</v>
      </c>
      <c r="B4" s="4" t="s">
        <v>95</v>
      </c>
      <c r="C4" s="16" t="s">
        <v>23</v>
      </c>
      <c r="D4" s="16" t="s">
        <v>96</v>
      </c>
      <c r="E4" s="16" t="s">
        <v>24</v>
      </c>
      <c r="F4" s="6" t="n">
        <v>1500</v>
      </c>
      <c r="G4" s="6" t="n">
        <v>38</v>
      </c>
      <c r="H4" s="16"/>
    </row>
    <row r="5" customFormat="false" ht="15" hidden="false" customHeight="false" outlineLevel="0" collapsed="false">
      <c r="A5" s="10" t="s">
        <v>94</v>
      </c>
      <c r="B5" s="10" t="s">
        <v>97</v>
      </c>
      <c r="C5" s="19" t="s">
        <v>23</v>
      </c>
      <c r="D5" s="19" t="s">
        <v>98</v>
      </c>
      <c r="E5" s="19" t="s">
        <v>24</v>
      </c>
      <c r="F5" s="12" t="n">
        <v>1500</v>
      </c>
      <c r="G5" s="12" t="n">
        <v>38</v>
      </c>
      <c r="H5" s="19"/>
    </row>
    <row r="6" customFormat="false" ht="15" hidden="false" customHeight="false" outlineLevel="0" collapsed="false">
      <c r="A6" s="4" t="s">
        <v>94</v>
      </c>
      <c r="B6" s="4" t="s">
        <v>99</v>
      </c>
      <c r="C6" s="16" t="s">
        <v>34</v>
      </c>
      <c r="D6" s="16" t="s">
        <v>100</v>
      </c>
      <c r="E6" s="16" t="s">
        <v>30</v>
      </c>
      <c r="F6" s="6" t="n">
        <v>2000</v>
      </c>
      <c r="G6" s="6" t="n">
        <v>36</v>
      </c>
      <c r="H6" s="16"/>
    </row>
    <row r="7" customFormat="false" ht="15" hidden="false" customHeight="false" outlineLevel="0" collapsed="false">
      <c r="A7" s="10" t="s">
        <v>101</v>
      </c>
      <c r="B7" s="10" t="s">
        <v>102</v>
      </c>
      <c r="C7" s="19" t="s">
        <v>54</v>
      </c>
      <c r="D7" s="19" t="s">
        <v>103</v>
      </c>
      <c r="E7" s="19" t="s">
        <v>24</v>
      </c>
      <c r="F7" s="12" t="n">
        <v>1500</v>
      </c>
      <c r="G7" s="12" t="n">
        <v>38</v>
      </c>
      <c r="H7" s="19"/>
    </row>
    <row r="8" customFormat="false" ht="15" hidden="false" customHeight="false" outlineLevel="0" collapsed="false">
      <c r="A8" s="4" t="s">
        <v>101</v>
      </c>
      <c r="B8" s="4" t="s">
        <v>104</v>
      </c>
      <c r="C8" s="16" t="s">
        <v>29</v>
      </c>
      <c r="D8" s="16" t="s">
        <v>105</v>
      </c>
      <c r="E8" s="16" t="s">
        <v>30</v>
      </c>
      <c r="F8" s="6" t="n">
        <v>2000</v>
      </c>
      <c r="G8" s="6" t="n">
        <v>36</v>
      </c>
      <c r="H8" s="16"/>
    </row>
    <row r="9" customFormat="false" ht="15" hidden="false" customHeight="false" outlineLevel="0" collapsed="false">
      <c r="A9" s="10" t="s">
        <v>101</v>
      </c>
      <c r="B9" s="10" t="s">
        <v>106</v>
      </c>
      <c r="C9" s="19" t="s">
        <v>57</v>
      </c>
      <c r="D9" s="19" t="s">
        <v>107</v>
      </c>
      <c r="E9" s="19" t="s">
        <v>35</v>
      </c>
      <c r="F9" s="12" t="n">
        <v>1000</v>
      </c>
      <c r="G9" s="12" t="n">
        <v>40</v>
      </c>
      <c r="H9" s="19"/>
    </row>
    <row r="10" customFormat="false" ht="15" hidden="false" customHeight="false" outlineLevel="0" collapsed="false">
      <c r="A10" s="4" t="s">
        <v>108</v>
      </c>
      <c r="B10" s="4" t="s">
        <v>109</v>
      </c>
      <c r="C10" s="16" t="s">
        <v>110</v>
      </c>
      <c r="D10" s="16" t="s">
        <v>111</v>
      </c>
      <c r="E10" s="16" t="s">
        <v>112</v>
      </c>
      <c r="F10" s="6" t="n">
        <v>2500</v>
      </c>
      <c r="G10" s="6" t="n">
        <v>34</v>
      </c>
      <c r="H10" s="16"/>
    </row>
    <row r="11" customFormat="false" ht="15" hidden="false" customHeight="false" outlineLevel="0" collapsed="false">
      <c r="A11" s="10" t="s">
        <v>108</v>
      </c>
      <c r="B11" s="10" t="s">
        <v>113</v>
      </c>
      <c r="C11" s="19" t="s">
        <v>110</v>
      </c>
      <c r="D11" s="19" t="s">
        <v>114</v>
      </c>
      <c r="E11" s="19" t="s">
        <v>112</v>
      </c>
      <c r="F11" s="12" t="n">
        <v>2500</v>
      </c>
      <c r="G11" s="12" t="n">
        <v>34</v>
      </c>
      <c r="H11" s="19"/>
    </row>
    <row r="12" customFormat="false" ht="15" hidden="false" customHeight="false" outlineLevel="0" collapsed="false">
      <c r="A12" s="4" t="s">
        <v>115</v>
      </c>
      <c r="B12" s="4" t="s">
        <v>116</v>
      </c>
      <c r="C12" s="16" t="s">
        <v>117</v>
      </c>
      <c r="D12" s="16" t="s">
        <v>118</v>
      </c>
      <c r="E12" s="16" t="s">
        <v>112</v>
      </c>
      <c r="F12" s="6" t="n">
        <v>5000</v>
      </c>
      <c r="G12" s="6" t="n">
        <v>32</v>
      </c>
      <c r="H12" s="16"/>
    </row>
    <row r="13" customFormat="false" ht="15" hidden="false" customHeight="false" outlineLevel="0" collapsed="false">
      <c r="A13" s="10" t="s">
        <v>115</v>
      </c>
      <c r="B13" s="10" t="s">
        <v>119</v>
      </c>
      <c r="C13" s="19" t="s">
        <v>47</v>
      </c>
      <c r="D13" s="19" t="s">
        <v>120</v>
      </c>
      <c r="E13" s="19" t="s">
        <v>48</v>
      </c>
      <c r="F13" s="12" t="n">
        <v>1500</v>
      </c>
      <c r="G13" s="12" t="n">
        <v>38</v>
      </c>
      <c r="H13" s="19"/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67E22"/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60"/>
    <col collapsed="false" customWidth="true" hidden="false" outlineLevel="0" max="3" min="3" style="0" width="10"/>
    <col collapsed="false" customWidth="true" hidden="false" outlineLevel="0" max="4" min="4" style="0" width="8"/>
  </cols>
  <sheetData>
    <row r="1" customFormat="false" ht="17.35" hidden="false" customHeight="true" outlineLevel="0" collapsed="false">
      <c r="A1" s="24" t="s">
        <v>121</v>
      </c>
      <c r="B1" s="24"/>
      <c r="C1" s="24"/>
      <c r="D1" s="24"/>
    </row>
    <row r="3" customFormat="false" ht="15" hidden="false" customHeight="false" outlineLevel="0" collapsed="false">
      <c r="A3" s="25" t="s">
        <v>122</v>
      </c>
      <c r="B3" s="25" t="s">
        <v>123</v>
      </c>
      <c r="C3" s="25" t="s">
        <v>124</v>
      </c>
      <c r="D3" s="25" t="s">
        <v>125</v>
      </c>
    </row>
    <row r="4" customFormat="false" ht="15" hidden="false" customHeight="false" outlineLevel="0" collapsed="false">
      <c r="A4" s="4" t="s">
        <v>126</v>
      </c>
      <c r="B4" s="4" t="s">
        <v>127</v>
      </c>
      <c r="C4" s="16" t="s">
        <v>128</v>
      </c>
      <c r="D4" s="16" t="s">
        <v>129</v>
      </c>
    </row>
    <row r="5" customFormat="false" ht="15" hidden="false" customHeight="false" outlineLevel="0" collapsed="false">
      <c r="A5" s="10" t="s">
        <v>130</v>
      </c>
      <c r="B5" s="10" t="s">
        <v>131</v>
      </c>
      <c r="C5" s="19" t="s">
        <v>132</v>
      </c>
      <c r="D5" s="19" t="s">
        <v>129</v>
      </c>
    </row>
    <row r="6" customFormat="false" ht="15" hidden="false" customHeight="false" outlineLevel="0" collapsed="false">
      <c r="A6" s="4" t="s">
        <v>133</v>
      </c>
      <c r="B6" s="4" t="s">
        <v>134</v>
      </c>
      <c r="C6" s="16" t="s">
        <v>135</v>
      </c>
      <c r="D6" s="16" t="s">
        <v>129</v>
      </c>
    </row>
    <row r="7" customFormat="false" ht="15" hidden="false" customHeight="false" outlineLevel="0" collapsed="false">
      <c r="A7" s="10" t="s">
        <v>136</v>
      </c>
      <c r="B7" s="10" t="s">
        <v>137</v>
      </c>
      <c r="C7" s="19" t="s">
        <v>132</v>
      </c>
      <c r="D7" s="19" t="s">
        <v>129</v>
      </c>
    </row>
    <row r="8" customFormat="false" ht="15" hidden="false" customHeight="false" outlineLevel="0" collapsed="false">
      <c r="A8" s="4" t="s">
        <v>138</v>
      </c>
      <c r="B8" s="4" t="s">
        <v>139</v>
      </c>
      <c r="C8" s="16" t="s">
        <v>132</v>
      </c>
      <c r="D8" s="16" t="s">
        <v>129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2026-02-07T08:15:00Z</dcterms:created>
  <dc:creator>openpyxl</dc:creator>
  <dc:description/>
  <dc:language>en-US</dc:language>
  <cp:lastModifiedBy/>
  <dcterms:modified xsi:type="dcterms:W3CDTF">2026-02-07T08:15:00Z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